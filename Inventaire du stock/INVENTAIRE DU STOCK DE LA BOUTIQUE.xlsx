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ERCICE  2026\"/>
    </mc:Choice>
  </mc:AlternateContent>
  <bookViews>
    <workbookView xWindow="0" yWindow="0" windowWidth="19380" windowHeight="8340"/>
  </bookViews>
  <sheets>
    <sheet name="Feuil1" sheetId="1" r:id="rId1"/>
    <sheet name="Feuil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" i="1" l="1"/>
  <c r="E48" i="1"/>
  <c r="E49" i="1"/>
  <c r="E50" i="1"/>
  <c r="E51" i="1"/>
  <c r="E52" i="1"/>
  <c r="E53" i="1"/>
  <c r="E54" i="1"/>
  <c r="E8" i="1" l="1"/>
  <c r="E9" i="1"/>
  <c r="E10" i="1"/>
  <c r="E11" i="1"/>
  <c r="E12" i="1"/>
  <c r="E13" i="1"/>
  <c r="E14" i="1"/>
  <c r="E15" i="1"/>
  <c r="E16" i="1"/>
  <c r="E17" i="1"/>
  <c r="E18" i="1"/>
  <c r="E19" i="1"/>
  <c r="E39" i="1"/>
  <c r="E40" i="1"/>
  <c r="E41" i="1"/>
  <c r="E42" i="1"/>
  <c r="E43" i="1"/>
  <c r="E44" i="1"/>
  <c r="E4" i="1"/>
  <c r="E5" i="1"/>
  <c r="E6" i="1"/>
  <c r="E7" i="1"/>
  <c r="E20" i="1"/>
  <c r="E21" i="1"/>
  <c r="E22" i="1"/>
  <c r="E23" i="1"/>
  <c r="E24" i="1"/>
  <c r="E25" i="1"/>
  <c r="E46" i="1" l="1"/>
  <c r="E38" i="1" l="1"/>
  <c r="E3" i="1" l="1"/>
  <c r="E57" i="1" s="1"/>
</calcChain>
</file>

<file path=xl/sharedStrings.xml><?xml version="1.0" encoding="utf-8"?>
<sst xmlns="http://schemas.openxmlformats.org/spreadsheetml/2006/main" count="153" uniqueCount="111">
  <si>
    <t>Noms du produits</t>
  </si>
  <si>
    <t>Type</t>
  </si>
  <si>
    <t>PA</t>
  </si>
  <si>
    <t>PV</t>
  </si>
  <si>
    <t>Reste du stock</t>
  </si>
  <si>
    <t>Benefies</t>
  </si>
  <si>
    <t>Solar charger controler PWN</t>
  </si>
  <si>
    <t>50A</t>
  </si>
  <si>
    <t>Quatite</t>
  </si>
  <si>
    <t>40A</t>
  </si>
  <si>
    <t>20A</t>
  </si>
  <si>
    <t>10A</t>
  </si>
  <si>
    <t>30A</t>
  </si>
  <si>
    <t>1000W 12V</t>
  </si>
  <si>
    <t>2000W 12V</t>
  </si>
  <si>
    <t>3200W 24V</t>
  </si>
  <si>
    <t>4200W 24V</t>
  </si>
  <si>
    <t>6200W 48V</t>
  </si>
  <si>
    <t>Hydrid Inverter</t>
  </si>
  <si>
    <t>300W 12V</t>
  </si>
  <si>
    <t>500W 12V</t>
  </si>
  <si>
    <t>1500W 12V</t>
  </si>
  <si>
    <t>2000W 24V</t>
  </si>
  <si>
    <t>Vente du mois</t>
  </si>
  <si>
    <t>quantite</t>
  </si>
  <si>
    <t>prix de vente</t>
  </si>
  <si>
    <t>total stock</t>
  </si>
  <si>
    <t>200W</t>
  </si>
  <si>
    <t>300W</t>
  </si>
  <si>
    <t>350W</t>
  </si>
  <si>
    <t>550W</t>
  </si>
  <si>
    <t>Modified Sinus Inverter</t>
  </si>
  <si>
    <t>100W</t>
  </si>
  <si>
    <t>Panaeu Solaire</t>
  </si>
  <si>
    <t xml:space="preserve"> </t>
  </si>
  <si>
    <t>SOLAR LIGHT</t>
  </si>
  <si>
    <t>a- All in two</t>
  </si>
  <si>
    <t>b- All in one</t>
  </si>
  <si>
    <t>60W</t>
  </si>
  <si>
    <t>90W</t>
  </si>
  <si>
    <t>150W</t>
  </si>
  <si>
    <t>1- Street solar light</t>
  </si>
  <si>
    <t>2-Solar light projector</t>
  </si>
  <si>
    <t>a- With  camera</t>
  </si>
  <si>
    <t>3- Garden solar light</t>
  </si>
  <si>
    <t>Solar lihgt bulb</t>
  </si>
  <si>
    <t>1w</t>
  </si>
  <si>
    <t xml:space="preserve">Tube solar light </t>
  </si>
  <si>
    <t>4W</t>
  </si>
  <si>
    <t>Solar pump</t>
  </si>
  <si>
    <t>TOTAL</t>
  </si>
  <si>
    <t>PANNEAUX SOLAIRE</t>
  </si>
  <si>
    <t>Designation/ Specification</t>
  </si>
  <si>
    <t>Quantite 10</t>
  </si>
  <si>
    <t>50 pieces</t>
  </si>
  <si>
    <t>100 Pieces</t>
  </si>
  <si>
    <t>180W</t>
  </si>
  <si>
    <t>400W</t>
  </si>
  <si>
    <t>450W</t>
  </si>
  <si>
    <t>500W</t>
  </si>
  <si>
    <t>575W</t>
  </si>
  <si>
    <t>BATTERIE GEL</t>
  </si>
  <si>
    <t>100pieces</t>
  </si>
  <si>
    <t>50h</t>
  </si>
  <si>
    <t>100h</t>
  </si>
  <si>
    <t>150h</t>
  </si>
  <si>
    <t>200h</t>
  </si>
  <si>
    <t>250h</t>
  </si>
  <si>
    <t>BATTERIE LITHUM</t>
  </si>
  <si>
    <t>50pieces</t>
  </si>
  <si>
    <t>100Pieces</t>
  </si>
  <si>
    <t>100Ah-12V( Modele1)</t>
  </si>
  <si>
    <t>100Ah -12V(Modele2)</t>
  </si>
  <si>
    <t>200Ah-12V</t>
  </si>
  <si>
    <t>200Ah-24V</t>
  </si>
  <si>
    <t>300Ah-12V</t>
  </si>
  <si>
    <t>300Ah-24V</t>
  </si>
  <si>
    <t>5KW-48V</t>
  </si>
  <si>
    <t>15KW-48V</t>
  </si>
  <si>
    <t>ONDULEUR BASSE FREQUENCE</t>
  </si>
  <si>
    <t>Designation/Specification</t>
  </si>
  <si>
    <t>Convertisseur 1KW-12V</t>
  </si>
  <si>
    <t>6,2KW-48V</t>
  </si>
  <si>
    <t>1,6KW-12V</t>
  </si>
  <si>
    <t>3,2KW-24v</t>
  </si>
  <si>
    <t>11KW-48V</t>
  </si>
  <si>
    <t>50Pieces</t>
  </si>
  <si>
    <t>LAMPADAIRE YTDC</t>
  </si>
  <si>
    <t>Qauntite10</t>
  </si>
  <si>
    <t>Quantite10</t>
  </si>
  <si>
    <t>50oieces</t>
  </si>
  <si>
    <t>30W</t>
  </si>
  <si>
    <t>40W</t>
  </si>
  <si>
    <t>80W</t>
  </si>
  <si>
    <t>120W</t>
  </si>
  <si>
    <t>20W</t>
  </si>
  <si>
    <t>50 Pieces</t>
  </si>
  <si>
    <t>LAMPADAIRE YTDD</t>
  </si>
  <si>
    <t>CONTROLEUR DE CHARGE</t>
  </si>
  <si>
    <t>40Ah</t>
  </si>
  <si>
    <t>60Ah</t>
  </si>
  <si>
    <t>80Ah</t>
  </si>
  <si>
    <t xml:space="preserve">Insersseur de source </t>
  </si>
  <si>
    <t>Monophase</t>
  </si>
  <si>
    <t>63A</t>
  </si>
  <si>
    <t>Triphase</t>
  </si>
  <si>
    <t>Parafoudre DC monophase</t>
  </si>
  <si>
    <t>40KA 1000V</t>
  </si>
  <si>
    <t>Disjonteur DC</t>
  </si>
  <si>
    <t>32A</t>
  </si>
  <si>
    <t>125A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</si>
</sst>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Font="1" applyBorder="1"/>
    <xf numFmtId="0" fontId="1" fillId="0" borderId="1" xfId="0" applyFont="1" applyFill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topLeftCell="A22" workbookViewId="0">
      <selection activeCell="F60" sqref="F60"/>
    </sheetView>
  </sheetViews>
  <sheetFormatPr baseColWidth="10" defaultRowHeight="15" x14ac:dyDescent="0.25"/>
  <cols>
    <col min="1" max="1" width="39.7109375" customWidth="1"/>
    <col min="2" max="2" width="15.7109375" style="3" customWidth="1"/>
    <col min="3" max="3" width="15.28515625" style="3" customWidth="1"/>
    <col min="4" max="7" width="13" customWidth="1"/>
    <col min="9" max="9" width="15.85546875" customWidth="1"/>
    <col min="10" max="10" width="12.85546875" customWidth="1"/>
  </cols>
  <sheetData>
    <row r="1" spans="1:10" s="6" customFormat="1" x14ac:dyDescent="0.25">
      <c r="A1" s="5" t="s">
        <v>0</v>
      </c>
      <c r="B1" s="5" t="s">
        <v>1</v>
      </c>
      <c r="C1" s="5" t="s">
        <v>8</v>
      </c>
      <c r="D1" s="5" t="s">
        <v>3</v>
      </c>
      <c r="E1" s="7" t="s">
        <v>26</v>
      </c>
      <c r="F1" s="14" t="s">
        <v>23</v>
      </c>
      <c r="G1" s="15"/>
      <c r="H1" s="5" t="s">
        <v>2</v>
      </c>
      <c r="I1" s="5" t="s">
        <v>4</v>
      </c>
      <c r="J1" s="5" t="s">
        <v>5</v>
      </c>
    </row>
    <row r="2" spans="1:10" s="6" customFormat="1" x14ac:dyDescent="0.25">
      <c r="A2" s="5"/>
      <c r="B2" s="5"/>
      <c r="C2" s="5"/>
      <c r="D2" s="5"/>
      <c r="E2" s="5"/>
      <c r="F2" s="5" t="s">
        <v>24</v>
      </c>
      <c r="G2" s="5" t="s">
        <v>25</v>
      </c>
      <c r="H2" s="5"/>
      <c r="I2" s="5"/>
      <c r="J2" s="5"/>
    </row>
    <row r="3" spans="1:10" x14ac:dyDescent="0.25">
      <c r="A3" s="8" t="s">
        <v>6</v>
      </c>
      <c r="B3" s="2" t="s">
        <v>7</v>
      </c>
      <c r="C3" s="2">
        <v>24</v>
      </c>
      <c r="D3" s="1">
        <v>25000</v>
      </c>
      <c r="E3" s="1">
        <f>C3*D3</f>
        <v>600000</v>
      </c>
      <c r="F3" s="1"/>
      <c r="G3" s="1"/>
      <c r="H3" s="1"/>
      <c r="I3" s="1"/>
      <c r="J3" s="1"/>
    </row>
    <row r="4" spans="1:10" x14ac:dyDescent="0.25">
      <c r="A4" s="8"/>
      <c r="B4" s="2" t="s">
        <v>9</v>
      </c>
      <c r="C4" s="2">
        <v>25</v>
      </c>
      <c r="D4" s="1">
        <v>20000</v>
      </c>
      <c r="E4" s="1">
        <f t="shared" ref="E4:E25" si="0">C4*D4</f>
        <v>500000</v>
      </c>
      <c r="F4" s="1"/>
      <c r="G4" s="1"/>
      <c r="H4" s="1"/>
      <c r="I4" s="1"/>
      <c r="J4" s="1"/>
    </row>
    <row r="5" spans="1:10" x14ac:dyDescent="0.25">
      <c r="A5" s="8"/>
      <c r="B5" s="2" t="s">
        <v>12</v>
      </c>
      <c r="C5" s="2">
        <v>3</v>
      </c>
      <c r="D5" s="1">
        <v>15000</v>
      </c>
      <c r="E5" s="1">
        <f t="shared" si="0"/>
        <v>45000</v>
      </c>
      <c r="F5" s="1"/>
      <c r="G5" s="1"/>
      <c r="H5" s="1"/>
      <c r="I5" s="1"/>
      <c r="J5" s="1"/>
    </row>
    <row r="6" spans="1:10" x14ac:dyDescent="0.25">
      <c r="A6" s="8"/>
      <c r="B6" s="2" t="s">
        <v>10</v>
      </c>
      <c r="C6" s="2">
        <v>18</v>
      </c>
      <c r="D6" s="1">
        <v>10000</v>
      </c>
      <c r="E6" s="1">
        <f t="shared" si="0"/>
        <v>180000</v>
      </c>
      <c r="F6" s="1"/>
      <c r="G6" s="1"/>
      <c r="H6" s="1"/>
      <c r="I6" s="1"/>
      <c r="J6" s="1"/>
    </row>
    <row r="7" spans="1:10" x14ac:dyDescent="0.25">
      <c r="A7" s="8"/>
      <c r="B7" s="2" t="s">
        <v>11</v>
      </c>
      <c r="C7" s="2">
        <v>28</v>
      </c>
      <c r="D7" s="1">
        <v>8000</v>
      </c>
      <c r="E7" s="1">
        <f t="shared" si="0"/>
        <v>224000</v>
      </c>
      <c r="F7" s="1"/>
      <c r="G7" s="1"/>
      <c r="H7" s="1"/>
      <c r="I7" s="1"/>
      <c r="J7" s="1"/>
    </row>
    <row r="8" spans="1:10" x14ac:dyDescent="0.25">
      <c r="A8" s="8"/>
      <c r="B8" s="2"/>
      <c r="C8" s="2"/>
      <c r="D8" s="1"/>
      <c r="E8" s="1">
        <f t="shared" si="0"/>
        <v>0</v>
      </c>
      <c r="F8" s="1"/>
      <c r="G8" s="1"/>
      <c r="H8" s="1"/>
      <c r="I8" s="1"/>
      <c r="J8" s="1"/>
    </row>
    <row r="9" spans="1:10" x14ac:dyDescent="0.25">
      <c r="A9" s="8" t="s">
        <v>18</v>
      </c>
      <c r="B9" s="2" t="s">
        <v>13</v>
      </c>
      <c r="C9" s="2">
        <v>0</v>
      </c>
      <c r="D9" s="1">
        <v>125000</v>
      </c>
      <c r="E9" s="1">
        <f t="shared" si="0"/>
        <v>0</v>
      </c>
      <c r="F9" s="1"/>
      <c r="G9" s="1"/>
      <c r="H9" s="1"/>
      <c r="I9" s="1"/>
      <c r="J9" s="1"/>
    </row>
    <row r="10" spans="1:10" x14ac:dyDescent="0.25">
      <c r="A10" s="8"/>
      <c r="B10" s="2" t="s">
        <v>14</v>
      </c>
      <c r="C10" s="2">
        <v>0</v>
      </c>
      <c r="D10" s="1">
        <v>145000</v>
      </c>
      <c r="E10" s="1">
        <f t="shared" si="0"/>
        <v>0</v>
      </c>
      <c r="F10" s="1"/>
      <c r="G10" s="1"/>
      <c r="H10" s="1"/>
      <c r="I10" s="1"/>
      <c r="J10" s="1"/>
    </row>
    <row r="11" spans="1:10" x14ac:dyDescent="0.25">
      <c r="A11" s="8"/>
      <c r="B11" s="2" t="s">
        <v>15</v>
      </c>
      <c r="C11" s="2">
        <v>6</v>
      </c>
      <c r="D11" s="1">
        <v>160000</v>
      </c>
      <c r="E11" s="1">
        <f t="shared" si="0"/>
        <v>960000</v>
      </c>
      <c r="F11" s="1"/>
      <c r="G11" s="1"/>
      <c r="H11" s="1"/>
      <c r="I11" s="1"/>
      <c r="J11" s="1"/>
    </row>
    <row r="12" spans="1:10" x14ac:dyDescent="0.25">
      <c r="A12" s="8"/>
      <c r="B12" s="2" t="s">
        <v>16</v>
      </c>
      <c r="C12" s="2">
        <v>6</v>
      </c>
      <c r="D12" s="1">
        <v>300000</v>
      </c>
      <c r="E12" s="1">
        <f t="shared" si="0"/>
        <v>1800000</v>
      </c>
      <c r="F12" s="1"/>
      <c r="G12" s="1"/>
      <c r="H12" s="1"/>
      <c r="I12" s="1"/>
      <c r="J12" s="1"/>
    </row>
    <row r="13" spans="1:10" x14ac:dyDescent="0.25">
      <c r="A13" s="8"/>
      <c r="B13" s="2" t="s">
        <v>17</v>
      </c>
      <c r="C13" s="2">
        <v>3</v>
      </c>
      <c r="D13" s="1">
        <v>430000</v>
      </c>
      <c r="E13" s="1">
        <f t="shared" si="0"/>
        <v>1290000</v>
      </c>
      <c r="F13" s="1"/>
      <c r="G13" s="1"/>
      <c r="H13" s="1"/>
      <c r="I13" s="1"/>
      <c r="J13" s="1"/>
    </row>
    <row r="14" spans="1:10" x14ac:dyDescent="0.25">
      <c r="A14" s="8"/>
      <c r="B14" s="2"/>
      <c r="C14" s="2"/>
      <c r="D14" s="1"/>
      <c r="E14" s="1">
        <f t="shared" si="0"/>
        <v>0</v>
      </c>
      <c r="F14" s="1"/>
      <c r="G14" s="1"/>
      <c r="H14" s="1"/>
      <c r="I14" s="1"/>
      <c r="J14" s="1"/>
    </row>
    <row r="15" spans="1:10" x14ac:dyDescent="0.25">
      <c r="A15" s="8" t="s">
        <v>31</v>
      </c>
      <c r="B15" s="2" t="s">
        <v>19</v>
      </c>
      <c r="C15" s="2">
        <v>0</v>
      </c>
      <c r="D15" s="1">
        <v>18000</v>
      </c>
      <c r="E15" s="1">
        <f t="shared" si="0"/>
        <v>0</v>
      </c>
      <c r="F15" s="1"/>
      <c r="G15" s="1"/>
      <c r="H15" s="1"/>
      <c r="I15" s="1"/>
      <c r="J15" s="1"/>
    </row>
    <row r="16" spans="1:10" x14ac:dyDescent="0.25">
      <c r="A16" s="1"/>
      <c r="B16" s="2" t="s">
        <v>20</v>
      </c>
      <c r="C16" s="2">
        <v>1</v>
      </c>
      <c r="D16" s="1">
        <v>25000</v>
      </c>
      <c r="E16" s="1">
        <f t="shared" si="0"/>
        <v>25000</v>
      </c>
      <c r="F16" s="1"/>
      <c r="G16" s="1"/>
      <c r="H16" s="1"/>
      <c r="I16" s="1"/>
      <c r="J16" s="1"/>
    </row>
    <row r="17" spans="1:10" x14ac:dyDescent="0.25">
      <c r="A17" s="1"/>
      <c r="B17" s="2" t="s">
        <v>21</v>
      </c>
      <c r="C17" s="2">
        <v>0</v>
      </c>
      <c r="D17" s="1">
        <v>40000</v>
      </c>
      <c r="E17" s="1">
        <f t="shared" si="0"/>
        <v>0</v>
      </c>
      <c r="F17" s="1"/>
      <c r="G17" s="1"/>
      <c r="H17" s="1"/>
      <c r="I17" s="1"/>
      <c r="J17" s="1"/>
    </row>
    <row r="18" spans="1:10" x14ac:dyDescent="0.25">
      <c r="A18" s="1"/>
      <c r="B18" s="2" t="s">
        <v>14</v>
      </c>
      <c r="C18" s="2">
        <v>1</v>
      </c>
      <c r="D18" s="1">
        <v>55000</v>
      </c>
      <c r="E18" s="1">
        <f t="shared" si="0"/>
        <v>55000</v>
      </c>
      <c r="F18" s="1"/>
      <c r="G18" s="1"/>
      <c r="H18" s="1"/>
      <c r="I18" s="1"/>
      <c r="J18" s="1"/>
    </row>
    <row r="19" spans="1:10" x14ac:dyDescent="0.25">
      <c r="A19" s="1"/>
      <c r="B19" s="2" t="s">
        <v>22</v>
      </c>
      <c r="C19" s="4">
        <v>0</v>
      </c>
      <c r="D19" s="1">
        <v>70000</v>
      </c>
      <c r="E19" s="1">
        <f t="shared" si="0"/>
        <v>0</v>
      </c>
      <c r="F19" s="1"/>
      <c r="G19" s="1"/>
      <c r="H19" s="1"/>
      <c r="I19" s="1"/>
      <c r="J19" s="1"/>
    </row>
    <row r="20" spans="1:10" x14ac:dyDescent="0.25">
      <c r="A20" s="1"/>
      <c r="B20" s="2"/>
      <c r="C20" s="2"/>
      <c r="D20" s="1"/>
      <c r="E20" s="1">
        <f t="shared" si="0"/>
        <v>0</v>
      </c>
      <c r="F20" s="1"/>
      <c r="G20" s="1"/>
      <c r="H20" s="1"/>
      <c r="I20" s="1"/>
      <c r="J20" s="1"/>
    </row>
    <row r="21" spans="1:10" x14ac:dyDescent="0.25">
      <c r="A21" s="1"/>
      <c r="B21" s="2"/>
      <c r="C21" s="2"/>
      <c r="D21" s="1"/>
      <c r="E21" s="1">
        <f t="shared" si="0"/>
        <v>0</v>
      </c>
      <c r="F21" s="1"/>
      <c r="G21" s="1"/>
      <c r="H21" s="1"/>
      <c r="I21" s="1"/>
      <c r="J21" s="1"/>
    </row>
    <row r="22" spans="1:10" x14ac:dyDescent="0.25">
      <c r="A22" s="8" t="s">
        <v>33</v>
      </c>
      <c r="B22" s="2" t="s">
        <v>27</v>
      </c>
      <c r="C22" s="2">
        <v>146</v>
      </c>
      <c r="D22" s="1">
        <v>40000</v>
      </c>
      <c r="E22" s="1">
        <f t="shared" si="0"/>
        <v>5840000</v>
      </c>
      <c r="F22" s="1"/>
      <c r="G22" s="1"/>
      <c r="H22" s="1"/>
      <c r="I22" s="1"/>
      <c r="J22" s="1"/>
    </row>
    <row r="23" spans="1:10" x14ac:dyDescent="0.25">
      <c r="A23" s="1"/>
      <c r="B23" s="2" t="s">
        <v>28</v>
      </c>
      <c r="C23" s="2">
        <v>109</v>
      </c>
      <c r="D23" s="1">
        <v>55000</v>
      </c>
      <c r="E23" s="1">
        <f t="shared" si="0"/>
        <v>5995000</v>
      </c>
      <c r="F23" s="1"/>
      <c r="G23" s="1"/>
      <c r="H23" s="1"/>
      <c r="I23" s="1"/>
      <c r="J23" s="1"/>
    </row>
    <row r="24" spans="1:10" x14ac:dyDescent="0.25">
      <c r="A24" s="1"/>
      <c r="B24" s="2" t="s">
        <v>29</v>
      </c>
      <c r="C24" s="2">
        <v>127</v>
      </c>
      <c r="D24" s="1">
        <v>65000</v>
      </c>
      <c r="E24" s="1">
        <f t="shared" si="0"/>
        <v>8255000</v>
      </c>
      <c r="F24" s="1"/>
      <c r="G24" s="1"/>
      <c r="H24" s="1"/>
      <c r="I24" s="1"/>
      <c r="J24" s="1"/>
    </row>
    <row r="25" spans="1:10" x14ac:dyDescent="0.25">
      <c r="A25" s="1"/>
      <c r="B25" s="2" t="s">
        <v>30</v>
      </c>
      <c r="C25" s="2">
        <v>12</v>
      </c>
      <c r="D25" s="1">
        <v>80000</v>
      </c>
      <c r="E25" s="1">
        <f t="shared" si="0"/>
        <v>960000</v>
      </c>
      <c r="F25" s="1"/>
      <c r="G25" s="1"/>
      <c r="H25" s="1"/>
      <c r="I25" s="1"/>
      <c r="J25" s="1"/>
    </row>
    <row r="26" spans="1:10" x14ac:dyDescent="0.25">
      <c r="A26" s="1"/>
      <c r="B26" s="2"/>
      <c r="C26" s="2"/>
      <c r="D26" s="1"/>
      <c r="E26" s="1"/>
      <c r="F26" s="1"/>
      <c r="G26" s="1"/>
      <c r="H26" s="1"/>
      <c r="I26" s="1"/>
      <c r="J26" s="1"/>
    </row>
    <row r="27" spans="1:10" x14ac:dyDescent="0.25">
      <c r="A27" s="9" t="s">
        <v>35</v>
      </c>
      <c r="B27" s="2"/>
      <c r="C27" s="9"/>
      <c r="D27" s="10"/>
      <c r="E27" s="1"/>
      <c r="F27" s="1"/>
      <c r="G27" s="1"/>
      <c r="H27" s="1"/>
      <c r="I27" s="1"/>
      <c r="J27" s="1"/>
    </row>
    <row r="28" spans="1:10" x14ac:dyDescent="0.25">
      <c r="A28" s="8" t="s">
        <v>41</v>
      </c>
      <c r="B28" s="2" t="s">
        <v>34</v>
      </c>
      <c r="C28" s="2"/>
      <c r="D28" s="1"/>
      <c r="E28" s="1"/>
      <c r="F28" s="1"/>
      <c r="G28" s="1"/>
      <c r="H28" s="1"/>
      <c r="I28" s="1"/>
      <c r="J28" s="1"/>
    </row>
    <row r="29" spans="1:10" x14ac:dyDescent="0.25">
      <c r="A29" s="8" t="s">
        <v>36</v>
      </c>
      <c r="B29" s="2"/>
      <c r="C29" s="2">
        <v>1</v>
      </c>
      <c r="D29" s="1"/>
      <c r="E29" s="1"/>
      <c r="F29" s="1"/>
      <c r="G29" s="1"/>
      <c r="H29" s="1"/>
      <c r="I29" s="1"/>
      <c r="J29" s="1"/>
    </row>
    <row r="30" spans="1:10" x14ac:dyDescent="0.25">
      <c r="A30" s="8" t="s">
        <v>37</v>
      </c>
      <c r="B30" s="2" t="s">
        <v>38</v>
      </c>
      <c r="C30" s="2">
        <v>1</v>
      </c>
      <c r="D30" s="1"/>
      <c r="E30" s="1"/>
      <c r="F30" s="1"/>
      <c r="G30" s="1"/>
      <c r="H30" s="1"/>
      <c r="I30" s="1"/>
      <c r="J30" s="1"/>
    </row>
    <row r="31" spans="1:10" x14ac:dyDescent="0.25">
      <c r="A31" s="8"/>
      <c r="B31" s="2" t="s">
        <v>39</v>
      </c>
      <c r="C31" s="2">
        <v>0</v>
      </c>
      <c r="D31" s="1"/>
      <c r="E31" s="1"/>
      <c r="F31" s="1"/>
      <c r="G31" s="1"/>
      <c r="H31" s="1"/>
      <c r="I31" s="1"/>
      <c r="J31" s="1"/>
    </row>
    <row r="32" spans="1:10" x14ac:dyDescent="0.25">
      <c r="A32" s="8"/>
      <c r="B32" s="2" t="s">
        <v>32</v>
      </c>
      <c r="C32" s="2">
        <v>0</v>
      </c>
      <c r="D32" s="1"/>
      <c r="E32" s="1"/>
      <c r="F32" s="1"/>
      <c r="G32" s="1"/>
      <c r="H32" s="1"/>
      <c r="I32" s="1"/>
      <c r="J32" s="1"/>
    </row>
    <row r="33" spans="1:10" x14ac:dyDescent="0.25">
      <c r="A33" s="8"/>
      <c r="B33" s="2" t="s">
        <v>40</v>
      </c>
      <c r="C33" s="2">
        <v>0</v>
      </c>
      <c r="D33" s="1"/>
      <c r="E33" s="1"/>
      <c r="F33" s="1"/>
      <c r="G33" s="1"/>
      <c r="H33" s="1"/>
      <c r="I33" s="1"/>
      <c r="J33" s="1"/>
    </row>
    <row r="34" spans="1:10" x14ac:dyDescent="0.25">
      <c r="A34" s="8"/>
      <c r="B34" s="2"/>
      <c r="C34" s="2"/>
      <c r="D34" s="1"/>
      <c r="E34" s="1"/>
      <c r="F34" s="1"/>
      <c r="G34" s="1"/>
      <c r="H34" s="1"/>
      <c r="I34" s="1"/>
      <c r="J34" s="1"/>
    </row>
    <row r="35" spans="1:10" x14ac:dyDescent="0.25">
      <c r="A35" s="8" t="s">
        <v>42</v>
      </c>
      <c r="B35" s="2" t="s">
        <v>28</v>
      </c>
      <c r="C35" s="2">
        <v>0</v>
      </c>
      <c r="D35" s="1"/>
      <c r="E35" s="1"/>
      <c r="F35" s="1"/>
      <c r="G35" s="1"/>
      <c r="H35" s="1"/>
      <c r="I35" s="1"/>
      <c r="J35" s="1"/>
    </row>
    <row r="36" spans="1:10" x14ac:dyDescent="0.25">
      <c r="A36" s="8"/>
      <c r="B36" s="2" t="s">
        <v>27</v>
      </c>
      <c r="C36" s="2">
        <v>0</v>
      </c>
      <c r="D36" s="1"/>
      <c r="E36" s="1"/>
      <c r="F36" s="1"/>
      <c r="G36" s="1"/>
      <c r="H36" s="1"/>
      <c r="I36" s="1"/>
      <c r="J36" s="1"/>
    </row>
    <row r="37" spans="1:10" x14ac:dyDescent="0.25">
      <c r="A37" s="8"/>
      <c r="B37" s="2" t="s">
        <v>32</v>
      </c>
      <c r="C37" s="2">
        <v>0</v>
      </c>
      <c r="D37" s="1"/>
      <c r="E37" s="1"/>
      <c r="F37" s="1"/>
      <c r="G37" s="1"/>
      <c r="H37" s="1"/>
      <c r="I37" s="1"/>
      <c r="J37" s="1"/>
    </row>
    <row r="38" spans="1:10" x14ac:dyDescent="0.25">
      <c r="A38" s="8" t="s">
        <v>43</v>
      </c>
      <c r="B38" s="2" t="s">
        <v>27</v>
      </c>
      <c r="C38" s="2">
        <v>8</v>
      </c>
      <c r="D38" s="1">
        <v>35000</v>
      </c>
      <c r="E38" s="1">
        <f t="shared" ref="E38:E54" si="1">C38*D38</f>
        <v>280000</v>
      </c>
      <c r="F38" s="1"/>
      <c r="G38" s="1"/>
      <c r="H38" s="1"/>
      <c r="I38" s="1"/>
      <c r="J38" s="1"/>
    </row>
    <row r="39" spans="1:10" x14ac:dyDescent="0.25">
      <c r="A39" s="8"/>
      <c r="B39" s="2" t="s">
        <v>32</v>
      </c>
      <c r="C39" s="2">
        <v>1</v>
      </c>
      <c r="D39" s="1">
        <v>25000</v>
      </c>
      <c r="E39" s="1">
        <f t="shared" si="1"/>
        <v>25000</v>
      </c>
      <c r="F39" s="1"/>
      <c r="G39" s="1"/>
      <c r="H39" s="1"/>
      <c r="I39" s="1"/>
      <c r="J39" s="1"/>
    </row>
    <row r="40" spans="1:10" x14ac:dyDescent="0.25">
      <c r="A40" s="8"/>
      <c r="B40" s="2"/>
      <c r="C40" s="2"/>
      <c r="D40" s="1"/>
      <c r="E40" s="1">
        <f t="shared" si="1"/>
        <v>0</v>
      </c>
      <c r="F40" s="1"/>
      <c r="G40" s="1"/>
      <c r="H40" s="1"/>
      <c r="I40" s="1"/>
      <c r="J40" s="1"/>
    </row>
    <row r="41" spans="1:10" x14ac:dyDescent="0.25">
      <c r="A41" s="8" t="s">
        <v>44</v>
      </c>
      <c r="B41" s="2"/>
      <c r="C41" s="2">
        <v>2</v>
      </c>
      <c r="D41" s="1">
        <v>20000</v>
      </c>
      <c r="E41" s="1">
        <f t="shared" si="1"/>
        <v>40000</v>
      </c>
      <c r="F41" s="1"/>
      <c r="G41" s="1"/>
      <c r="H41" s="1"/>
      <c r="I41" s="1"/>
      <c r="J41" s="1"/>
    </row>
    <row r="42" spans="1:10" x14ac:dyDescent="0.25">
      <c r="A42" s="11"/>
      <c r="B42" s="2"/>
      <c r="C42" s="2"/>
      <c r="D42" s="1"/>
      <c r="E42" s="1">
        <f t="shared" si="1"/>
        <v>0</v>
      </c>
      <c r="F42" s="1"/>
      <c r="G42" s="1"/>
      <c r="H42" s="1"/>
      <c r="I42" s="1"/>
      <c r="J42" s="1"/>
    </row>
    <row r="43" spans="1:10" x14ac:dyDescent="0.25">
      <c r="A43" s="8" t="s">
        <v>45</v>
      </c>
      <c r="B43" s="2" t="s">
        <v>46</v>
      </c>
      <c r="C43" s="2">
        <v>17</v>
      </c>
      <c r="D43" s="1">
        <v>1500</v>
      </c>
      <c r="E43" s="1">
        <f t="shared" si="1"/>
        <v>25500</v>
      </c>
      <c r="F43" s="1"/>
      <c r="G43" s="1"/>
      <c r="H43" s="1"/>
      <c r="I43" s="1"/>
      <c r="J43" s="1"/>
    </row>
    <row r="44" spans="1:10" x14ac:dyDescent="0.25">
      <c r="A44" s="8" t="s">
        <v>47</v>
      </c>
      <c r="B44" s="2" t="s">
        <v>48</v>
      </c>
      <c r="C44" s="2">
        <v>4</v>
      </c>
      <c r="D44" s="1">
        <v>1500</v>
      </c>
      <c r="E44" s="1">
        <f t="shared" si="1"/>
        <v>6000</v>
      </c>
      <c r="F44" s="1"/>
      <c r="G44" s="1"/>
      <c r="H44" s="1"/>
      <c r="I44" s="1"/>
      <c r="J44" s="1"/>
    </row>
    <row r="45" spans="1:10" x14ac:dyDescent="0.25">
      <c r="A45" s="1"/>
      <c r="B45" s="2"/>
      <c r="C45" s="2"/>
      <c r="D45" s="1"/>
      <c r="E45" s="1"/>
      <c r="F45" s="1"/>
      <c r="G45" s="1"/>
      <c r="H45" s="1"/>
      <c r="I45" s="1"/>
      <c r="J45" s="1"/>
    </row>
    <row r="46" spans="1:10" x14ac:dyDescent="0.25">
      <c r="A46" s="12" t="s">
        <v>49</v>
      </c>
      <c r="B46" s="2"/>
      <c r="C46" s="2">
        <v>1</v>
      </c>
      <c r="D46" s="1">
        <v>50000</v>
      </c>
      <c r="E46" s="1">
        <f t="shared" si="1"/>
        <v>50000</v>
      </c>
      <c r="F46" s="1"/>
      <c r="G46" s="1"/>
      <c r="H46" s="1"/>
      <c r="I46" s="1"/>
      <c r="J46" s="1"/>
    </row>
    <row r="47" spans="1:10" x14ac:dyDescent="0.25">
      <c r="A47" s="12"/>
      <c r="B47" s="13"/>
      <c r="C47" s="13"/>
      <c r="D47" s="1"/>
      <c r="E47" s="1">
        <f t="shared" si="1"/>
        <v>0</v>
      </c>
      <c r="F47" s="1"/>
      <c r="G47" s="1"/>
      <c r="H47" s="1"/>
      <c r="I47" s="1"/>
      <c r="J47" s="1"/>
    </row>
    <row r="48" spans="1:10" x14ac:dyDescent="0.25">
      <c r="A48" s="12" t="s">
        <v>102</v>
      </c>
      <c r="B48" s="13"/>
      <c r="C48" s="13"/>
      <c r="D48" s="1"/>
      <c r="E48" s="1">
        <f t="shared" si="1"/>
        <v>0</v>
      </c>
      <c r="F48" s="1"/>
      <c r="G48" s="1"/>
      <c r="H48" s="1"/>
      <c r="I48" s="1"/>
      <c r="J48" s="1"/>
    </row>
    <row r="49" spans="1:10" x14ac:dyDescent="0.25">
      <c r="A49" s="12" t="s">
        <v>103</v>
      </c>
      <c r="B49" s="13" t="s">
        <v>104</v>
      </c>
      <c r="C49" s="13">
        <v>1</v>
      </c>
      <c r="D49" s="1">
        <v>40000</v>
      </c>
      <c r="E49" s="1">
        <f t="shared" si="1"/>
        <v>40000</v>
      </c>
      <c r="F49" s="1"/>
      <c r="G49" s="1"/>
      <c r="H49" s="1"/>
      <c r="I49" s="1"/>
      <c r="J49" s="1"/>
    </row>
    <row r="50" spans="1:10" x14ac:dyDescent="0.25">
      <c r="A50" s="12" t="s">
        <v>105</v>
      </c>
      <c r="B50" s="13"/>
      <c r="C50" s="13">
        <v>0</v>
      </c>
      <c r="D50" s="1">
        <v>50000</v>
      </c>
      <c r="E50" s="1">
        <f t="shared" si="1"/>
        <v>0</v>
      </c>
      <c r="F50" s="1"/>
      <c r="G50" s="1"/>
      <c r="H50" s="1"/>
      <c r="I50" s="1"/>
      <c r="J50" s="1"/>
    </row>
    <row r="51" spans="1:10" x14ac:dyDescent="0.25">
      <c r="A51" s="12" t="s">
        <v>106</v>
      </c>
      <c r="B51" s="13" t="s">
        <v>107</v>
      </c>
      <c r="C51" s="13">
        <v>3</v>
      </c>
      <c r="D51" s="1">
        <v>15000</v>
      </c>
      <c r="E51" s="1">
        <f t="shared" si="1"/>
        <v>45000</v>
      </c>
      <c r="F51" s="1"/>
      <c r="G51" s="1"/>
      <c r="H51" s="1"/>
      <c r="I51" s="1"/>
      <c r="J51" s="1"/>
    </row>
    <row r="52" spans="1:10" x14ac:dyDescent="0.25">
      <c r="A52" s="12" t="s">
        <v>108</v>
      </c>
      <c r="B52" s="13" t="s">
        <v>109</v>
      </c>
      <c r="C52" s="13">
        <v>5</v>
      </c>
      <c r="D52" s="1">
        <v>10000</v>
      </c>
      <c r="E52" s="1">
        <f t="shared" si="1"/>
        <v>50000</v>
      </c>
      <c r="F52" s="1"/>
      <c r="G52" s="1"/>
      <c r="H52" s="1"/>
      <c r="I52" s="1"/>
      <c r="J52" s="1"/>
    </row>
    <row r="53" spans="1:10" x14ac:dyDescent="0.25">
      <c r="A53" s="12"/>
      <c r="B53" s="13" t="s">
        <v>104</v>
      </c>
      <c r="C53" s="13">
        <v>0</v>
      </c>
      <c r="D53" s="1">
        <v>10000</v>
      </c>
      <c r="E53" s="1">
        <f t="shared" si="1"/>
        <v>0</v>
      </c>
      <c r="F53" s="1"/>
      <c r="G53" s="1"/>
      <c r="H53" s="1"/>
      <c r="I53" s="1"/>
      <c r="J53" s="1"/>
    </row>
    <row r="54" spans="1:10" x14ac:dyDescent="0.25">
      <c r="A54" s="12"/>
      <c r="B54" s="13" t="s">
        <v>110</v>
      </c>
      <c r="C54" s="13">
        <v>0</v>
      </c>
      <c r="D54" s="1">
        <v>15000</v>
      </c>
      <c r="E54" s="1">
        <f t="shared" si="1"/>
        <v>0</v>
      </c>
      <c r="F54" s="1"/>
      <c r="G54" s="1"/>
      <c r="H54" s="1"/>
      <c r="I54" s="1"/>
      <c r="J54" s="1"/>
    </row>
    <row r="55" spans="1:10" x14ac:dyDescent="0.25">
      <c r="A55" s="12"/>
      <c r="B55" s="13"/>
      <c r="C55" s="13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2"/>
      <c r="C56" s="2"/>
      <c r="D56" s="1"/>
      <c r="E56" s="1" t="s">
        <v>50</v>
      </c>
      <c r="F56" s="1"/>
      <c r="G56" s="1"/>
      <c r="H56" s="1"/>
      <c r="I56" s="1"/>
      <c r="J56" s="1"/>
    </row>
    <row r="57" spans="1:10" x14ac:dyDescent="0.25">
      <c r="A57" s="1"/>
      <c r="B57" s="2"/>
      <c r="C57" s="2"/>
      <c r="D57" s="1"/>
      <c r="E57" s="1">
        <f>SUM(E3:E56)</f>
        <v>27290500</v>
      </c>
      <c r="F57" s="1"/>
      <c r="G57" s="1"/>
      <c r="H57" s="1"/>
      <c r="I57" s="1"/>
      <c r="J57" s="1"/>
    </row>
    <row r="58" spans="1:10" x14ac:dyDescent="0.25">
      <c r="A58" s="1"/>
      <c r="B58" s="2"/>
      <c r="C58" s="2"/>
      <c r="D58" s="1"/>
      <c r="E58" s="1"/>
      <c r="F58" s="1"/>
      <c r="G58" s="1"/>
      <c r="H58" s="1"/>
      <c r="I58" s="1"/>
      <c r="J58" s="1"/>
    </row>
  </sheetData>
  <mergeCells count="1">
    <mergeCell ref="F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opLeftCell="A24" workbookViewId="0">
      <selection activeCell="A65" sqref="A65:D66"/>
    </sheetView>
  </sheetViews>
  <sheetFormatPr baseColWidth="10" defaultRowHeight="15" x14ac:dyDescent="0.25"/>
  <cols>
    <col min="1" max="1" width="24.28515625" customWidth="1"/>
    <col min="2" max="2" width="17.28515625" customWidth="1"/>
  </cols>
  <sheetData>
    <row r="1" spans="1:4" x14ac:dyDescent="0.25">
      <c r="A1" s="16" t="s">
        <v>51</v>
      </c>
      <c r="B1" s="17"/>
      <c r="C1" s="17"/>
      <c r="D1" s="17"/>
    </row>
    <row r="2" spans="1:4" x14ac:dyDescent="0.25">
      <c r="A2" s="8" t="s">
        <v>52</v>
      </c>
      <c r="B2" s="8" t="s">
        <v>53</v>
      </c>
      <c r="C2" s="8" t="s">
        <v>54</v>
      </c>
      <c r="D2" s="8" t="s">
        <v>55</v>
      </c>
    </row>
    <row r="3" spans="1:4" x14ac:dyDescent="0.25">
      <c r="A3" s="1" t="s">
        <v>56</v>
      </c>
      <c r="B3" s="1">
        <v>23000</v>
      </c>
      <c r="C3" s="1">
        <v>22000</v>
      </c>
      <c r="D3" s="1">
        <v>21500</v>
      </c>
    </row>
    <row r="4" spans="1:4" x14ac:dyDescent="0.25">
      <c r="A4" s="1" t="s">
        <v>27</v>
      </c>
      <c r="B4" s="1">
        <v>25000</v>
      </c>
      <c r="C4" s="1">
        <v>24000</v>
      </c>
      <c r="D4" s="1">
        <v>23000</v>
      </c>
    </row>
    <row r="5" spans="1:4" x14ac:dyDescent="0.25">
      <c r="A5" s="1" t="s">
        <v>28</v>
      </c>
      <c r="B5" s="1">
        <v>40000</v>
      </c>
      <c r="C5" s="1">
        <v>36000</v>
      </c>
      <c r="D5" s="1">
        <v>35000</v>
      </c>
    </row>
    <row r="6" spans="1:4" x14ac:dyDescent="0.25">
      <c r="A6" s="1" t="s">
        <v>57</v>
      </c>
      <c r="B6" s="1">
        <v>45000</v>
      </c>
      <c r="C6" s="1">
        <v>43000</v>
      </c>
      <c r="D6" s="1">
        <v>40000</v>
      </c>
    </row>
    <row r="7" spans="1:4" x14ac:dyDescent="0.25">
      <c r="A7" s="1" t="s">
        <v>58</v>
      </c>
      <c r="B7" s="1">
        <v>50000</v>
      </c>
      <c r="C7" s="1">
        <v>48000</v>
      </c>
      <c r="D7" s="1">
        <v>45000</v>
      </c>
    </row>
    <row r="8" spans="1:4" x14ac:dyDescent="0.25">
      <c r="A8" s="1" t="s">
        <v>59</v>
      </c>
      <c r="B8" s="1">
        <v>60000</v>
      </c>
      <c r="C8" s="1">
        <v>58000</v>
      </c>
      <c r="D8" s="1">
        <v>50000</v>
      </c>
    </row>
    <row r="9" spans="1:4" x14ac:dyDescent="0.25">
      <c r="A9" s="1" t="s">
        <v>30</v>
      </c>
      <c r="B9" s="1">
        <v>65000</v>
      </c>
      <c r="C9" s="1">
        <v>60000</v>
      </c>
      <c r="D9" s="1">
        <v>58000</v>
      </c>
    </row>
    <row r="10" spans="1:4" x14ac:dyDescent="0.25">
      <c r="A10" s="1" t="s">
        <v>60</v>
      </c>
      <c r="B10" s="1">
        <v>66000</v>
      </c>
      <c r="C10" s="1">
        <v>62000</v>
      </c>
      <c r="D10" s="1">
        <v>59000</v>
      </c>
    </row>
    <row r="11" spans="1:4" x14ac:dyDescent="0.25">
      <c r="A11" s="1"/>
      <c r="B11" s="1"/>
      <c r="C11" s="1"/>
      <c r="D11" s="1"/>
    </row>
    <row r="12" spans="1:4" x14ac:dyDescent="0.25">
      <c r="A12" s="16" t="s">
        <v>61</v>
      </c>
      <c r="B12" s="16"/>
      <c r="C12" s="16"/>
      <c r="D12" s="16"/>
    </row>
    <row r="13" spans="1:4" x14ac:dyDescent="0.25">
      <c r="A13" s="8" t="s">
        <v>52</v>
      </c>
      <c r="B13" s="8" t="s">
        <v>89</v>
      </c>
      <c r="C13" s="8" t="s">
        <v>54</v>
      </c>
      <c r="D13" s="8" t="s">
        <v>62</v>
      </c>
    </row>
    <row r="14" spans="1:4" x14ac:dyDescent="0.25">
      <c r="A14" s="1" t="s">
        <v>63</v>
      </c>
      <c r="B14" s="1">
        <v>444000</v>
      </c>
      <c r="C14" s="1">
        <v>42500</v>
      </c>
      <c r="D14" s="1">
        <v>42000</v>
      </c>
    </row>
    <row r="15" spans="1:4" x14ac:dyDescent="0.25">
      <c r="A15" s="1" t="s">
        <v>64</v>
      </c>
      <c r="B15" s="1">
        <v>69000</v>
      </c>
      <c r="C15" s="1">
        <v>68000</v>
      </c>
      <c r="D15" s="1">
        <v>65000</v>
      </c>
    </row>
    <row r="16" spans="1:4" x14ac:dyDescent="0.25">
      <c r="A16" s="1" t="s">
        <v>65</v>
      </c>
      <c r="B16" s="1">
        <v>112000</v>
      </c>
      <c r="C16" s="1">
        <v>108000</v>
      </c>
      <c r="D16" s="1">
        <v>105000</v>
      </c>
    </row>
    <row r="17" spans="1:4" x14ac:dyDescent="0.25">
      <c r="A17" s="1" t="s">
        <v>66</v>
      </c>
      <c r="B17" s="1">
        <v>127500</v>
      </c>
      <c r="C17" s="1">
        <v>126500</v>
      </c>
      <c r="D17" s="1">
        <v>125000</v>
      </c>
    </row>
    <row r="18" spans="1:4" x14ac:dyDescent="0.25">
      <c r="A18" s="1" t="s">
        <v>67</v>
      </c>
      <c r="B18" s="1">
        <v>1575000</v>
      </c>
      <c r="C18" s="1">
        <v>155000</v>
      </c>
      <c r="D18" s="1">
        <v>150000</v>
      </c>
    </row>
    <row r="19" spans="1:4" x14ac:dyDescent="0.25">
      <c r="A19" s="1"/>
      <c r="B19" s="1"/>
      <c r="C19" s="1"/>
      <c r="D19" s="1"/>
    </row>
    <row r="20" spans="1:4" x14ac:dyDescent="0.25">
      <c r="A20" s="16" t="s">
        <v>68</v>
      </c>
      <c r="B20" s="16"/>
      <c r="C20" s="16"/>
      <c r="D20" s="16"/>
    </row>
    <row r="21" spans="1:4" x14ac:dyDescent="0.25">
      <c r="A21" s="8" t="s">
        <v>52</v>
      </c>
      <c r="B21" s="8" t="s">
        <v>89</v>
      </c>
      <c r="C21" s="8" t="s">
        <v>69</v>
      </c>
      <c r="D21" s="8" t="s">
        <v>70</v>
      </c>
    </row>
    <row r="22" spans="1:4" x14ac:dyDescent="0.25">
      <c r="A22" s="1" t="s">
        <v>71</v>
      </c>
      <c r="B22" s="1">
        <v>90000</v>
      </c>
      <c r="C22" s="1">
        <v>95000</v>
      </c>
      <c r="D22" s="1">
        <v>85000</v>
      </c>
    </row>
    <row r="23" spans="1:4" x14ac:dyDescent="0.25">
      <c r="A23" s="1" t="s">
        <v>72</v>
      </c>
      <c r="B23" s="1">
        <v>75000</v>
      </c>
      <c r="C23" s="1">
        <v>70000</v>
      </c>
      <c r="D23" s="1">
        <v>70000</v>
      </c>
    </row>
    <row r="24" spans="1:4" x14ac:dyDescent="0.25">
      <c r="A24" s="1" t="s">
        <v>73</v>
      </c>
      <c r="B24" s="1">
        <v>155000</v>
      </c>
      <c r="C24" s="1">
        <v>145000</v>
      </c>
      <c r="D24" s="1">
        <v>143000</v>
      </c>
    </row>
    <row r="25" spans="1:4" x14ac:dyDescent="0.25">
      <c r="A25" s="1" t="s">
        <v>74</v>
      </c>
      <c r="B25" s="1">
        <v>400000</v>
      </c>
      <c r="C25" s="1">
        <v>370000</v>
      </c>
      <c r="D25" s="1">
        <v>368000</v>
      </c>
    </row>
    <row r="26" spans="1:4" x14ac:dyDescent="0.25">
      <c r="A26" s="1" t="s">
        <v>75</v>
      </c>
      <c r="B26" s="1">
        <v>195000</v>
      </c>
      <c r="C26" s="1">
        <v>180000</v>
      </c>
      <c r="D26" s="1">
        <v>178000</v>
      </c>
    </row>
    <row r="27" spans="1:4" x14ac:dyDescent="0.25">
      <c r="A27" s="1" t="s">
        <v>76</v>
      </c>
      <c r="B27" s="1">
        <v>470000</v>
      </c>
      <c r="C27" s="1">
        <v>420000</v>
      </c>
      <c r="D27" s="1">
        <v>418000</v>
      </c>
    </row>
    <row r="28" spans="1:4" x14ac:dyDescent="0.25">
      <c r="A28" s="1" t="s">
        <v>77</v>
      </c>
      <c r="B28" s="1">
        <v>460000</v>
      </c>
      <c r="C28" s="1">
        <v>440000</v>
      </c>
      <c r="D28" s="1">
        <v>438000</v>
      </c>
    </row>
    <row r="29" spans="1:4" x14ac:dyDescent="0.25">
      <c r="A29" s="1" t="s">
        <v>78</v>
      </c>
      <c r="B29" s="1">
        <v>950000</v>
      </c>
      <c r="C29" s="1">
        <v>920000</v>
      </c>
      <c r="D29" s="1">
        <v>9000000</v>
      </c>
    </row>
    <row r="30" spans="1:4" x14ac:dyDescent="0.25">
      <c r="A30" s="1"/>
      <c r="B30" s="1"/>
      <c r="C30" s="1"/>
      <c r="D30" s="1"/>
    </row>
    <row r="31" spans="1:4" x14ac:dyDescent="0.25">
      <c r="A31" s="16" t="s">
        <v>79</v>
      </c>
      <c r="B31" s="16"/>
      <c r="C31" s="16"/>
      <c r="D31" s="16"/>
    </row>
    <row r="32" spans="1:4" x14ac:dyDescent="0.25">
      <c r="A32" s="8" t="s">
        <v>80</v>
      </c>
      <c r="B32" s="8" t="s">
        <v>89</v>
      </c>
      <c r="C32" s="8" t="s">
        <v>86</v>
      </c>
      <c r="D32" s="8" t="s">
        <v>62</v>
      </c>
    </row>
    <row r="33" spans="1:4" x14ac:dyDescent="0.25">
      <c r="A33" s="1" t="s">
        <v>83</v>
      </c>
      <c r="B33" s="1">
        <v>88000</v>
      </c>
      <c r="C33" s="1">
        <v>85000</v>
      </c>
      <c r="D33" s="1">
        <v>84000</v>
      </c>
    </row>
    <row r="34" spans="1:4" x14ac:dyDescent="0.25">
      <c r="A34" s="1" t="s">
        <v>84</v>
      </c>
      <c r="B34" s="1">
        <v>110000</v>
      </c>
      <c r="C34" s="1">
        <v>105000</v>
      </c>
      <c r="D34" s="1">
        <v>1000000</v>
      </c>
    </row>
    <row r="35" spans="1:4" x14ac:dyDescent="0.25">
      <c r="A35" s="1" t="s">
        <v>81</v>
      </c>
      <c r="B35" s="1">
        <v>75000</v>
      </c>
      <c r="C35" s="1">
        <v>74000</v>
      </c>
      <c r="D35" s="1">
        <v>73000</v>
      </c>
    </row>
    <row r="36" spans="1:4" x14ac:dyDescent="0.25">
      <c r="A36" s="1" t="s">
        <v>82</v>
      </c>
      <c r="B36" s="1">
        <v>240000</v>
      </c>
      <c r="C36" s="1">
        <v>238000</v>
      </c>
      <c r="D36" s="1">
        <v>235000</v>
      </c>
    </row>
    <row r="37" spans="1:4" x14ac:dyDescent="0.25">
      <c r="A37" s="1" t="s">
        <v>85</v>
      </c>
      <c r="B37" s="1">
        <v>380000</v>
      </c>
      <c r="C37" s="1">
        <v>378000</v>
      </c>
      <c r="D37" s="1">
        <v>375000</v>
      </c>
    </row>
    <row r="38" spans="1:4" x14ac:dyDescent="0.25">
      <c r="A38" s="1"/>
      <c r="B38" s="1"/>
      <c r="C38" s="1"/>
      <c r="D38" s="1"/>
    </row>
    <row r="39" spans="1:4" x14ac:dyDescent="0.25">
      <c r="A39" s="16" t="s">
        <v>87</v>
      </c>
      <c r="B39" s="16"/>
      <c r="C39" s="16"/>
      <c r="D39" s="16"/>
    </row>
    <row r="40" spans="1:4" x14ac:dyDescent="0.25">
      <c r="A40" s="8" t="s">
        <v>52</v>
      </c>
      <c r="B40" s="8" t="s">
        <v>88</v>
      </c>
      <c r="C40" s="8" t="s">
        <v>90</v>
      </c>
      <c r="D40" s="8" t="s">
        <v>70</v>
      </c>
    </row>
    <row r="41" spans="1:4" x14ac:dyDescent="0.25">
      <c r="A41" s="1" t="s">
        <v>95</v>
      </c>
      <c r="B41" s="1">
        <v>22500</v>
      </c>
      <c r="C41" s="1">
        <v>22000</v>
      </c>
      <c r="D41" s="1">
        <v>20000</v>
      </c>
    </row>
    <row r="42" spans="1:4" x14ac:dyDescent="0.25">
      <c r="A42" s="1" t="s">
        <v>91</v>
      </c>
      <c r="B42" s="1">
        <v>30000</v>
      </c>
      <c r="C42" s="1">
        <v>29000</v>
      </c>
      <c r="D42" s="1">
        <v>28000</v>
      </c>
    </row>
    <row r="43" spans="1:4" x14ac:dyDescent="0.25">
      <c r="A43" s="1" t="s">
        <v>92</v>
      </c>
      <c r="B43" s="1">
        <v>40000</v>
      </c>
      <c r="C43" s="1">
        <v>39000</v>
      </c>
      <c r="D43" s="1">
        <v>38000</v>
      </c>
    </row>
    <row r="44" spans="1:4" x14ac:dyDescent="0.25">
      <c r="A44" s="1" t="s">
        <v>38</v>
      </c>
      <c r="B44" s="1">
        <v>105000</v>
      </c>
      <c r="C44" s="1">
        <v>103000</v>
      </c>
      <c r="D44" s="1">
        <v>100000</v>
      </c>
    </row>
    <row r="45" spans="1:4" x14ac:dyDescent="0.25">
      <c r="A45" s="1" t="s">
        <v>93</v>
      </c>
      <c r="B45" s="1">
        <v>130000</v>
      </c>
      <c r="C45" s="1">
        <v>125000</v>
      </c>
      <c r="D45" s="1">
        <v>120000</v>
      </c>
    </row>
    <row r="46" spans="1:4" x14ac:dyDescent="0.25">
      <c r="A46" s="1" t="s">
        <v>32</v>
      </c>
      <c r="B46" s="1">
        <v>155000</v>
      </c>
      <c r="C46" s="1">
        <v>150000</v>
      </c>
      <c r="D46" s="1">
        <v>145000</v>
      </c>
    </row>
    <row r="47" spans="1:4" x14ac:dyDescent="0.25">
      <c r="A47" s="1" t="s">
        <v>94</v>
      </c>
      <c r="B47" s="1">
        <v>175000</v>
      </c>
      <c r="C47" s="1">
        <v>170000</v>
      </c>
      <c r="D47" s="1">
        <v>168000</v>
      </c>
    </row>
    <row r="48" spans="1:4" x14ac:dyDescent="0.25">
      <c r="A48" s="1" t="s">
        <v>40</v>
      </c>
      <c r="B48" s="1">
        <v>215000</v>
      </c>
      <c r="C48" s="1">
        <v>205000</v>
      </c>
      <c r="D48" s="1">
        <v>200000</v>
      </c>
    </row>
    <row r="49" spans="1:4" x14ac:dyDescent="0.25">
      <c r="A49" s="1"/>
      <c r="B49" s="1"/>
      <c r="C49" s="1"/>
      <c r="D49" s="1"/>
    </row>
    <row r="50" spans="1:4" x14ac:dyDescent="0.25">
      <c r="A50" s="16" t="s">
        <v>87</v>
      </c>
      <c r="B50" s="16"/>
      <c r="C50" s="16"/>
      <c r="D50" s="16"/>
    </row>
    <row r="51" spans="1:4" x14ac:dyDescent="0.25">
      <c r="A51" s="8" t="s">
        <v>80</v>
      </c>
      <c r="B51" s="8" t="s">
        <v>89</v>
      </c>
      <c r="C51" s="8" t="s">
        <v>96</v>
      </c>
      <c r="D51" s="8" t="s">
        <v>70</v>
      </c>
    </row>
    <row r="52" spans="1:4" x14ac:dyDescent="0.25">
      <c r="A52" s="1" t="s">
        <v>38</v>
      </c>
      <c r="B52" s="1">
        <v>100000</v>
      </c>
      <c r="C52" s="1">
        <v>95000</v>
      </c>
      <c r="D52" s="1">
        <v>90000</v>
      </c>
    </row>
    <row r="53" spans="1:4" x14ac:dyDescent="0.25">
      <c r="A53" s="1" t="s">
        <v>93</v>
      </c>
      <c r="B53" s="1">
        <v>120000</v>
      </c>
      <c r="C53" s="1">
        <v>115000</v>
      </c>
      <c r="D53" s="1">
        <v>105000</v>
      </c>
    </row>
    <row r="54" spans="1:4" x14ac:dyDescent="0.25">
      <c r="A54" s="1" t="s">
        <v>32</v>
      </c>
      <c r="B54" s="1">
        <v>135000</v>
      </c>
      <c r="C54" s="1">
        <v>130000</v>
      </c>
      <c r="D54" s="1">
        <v>128000</v>
      </c>
    </row>
    <row r="55" spans="1:4" x14ac:dyDescent="0.25">
      <c r="A55" s="1" t="s">
        <v>94</v>
      </c>
      <c r="B55" s="1">
        <v>140000</v>
      </c>
      <c r="C55" s="1">
        <v>134000</v>
      </c>
      <c r="D55" s="1">
        <v>130000</v>
      </c>
    </row>
    <row r="56" spans="1:4" x14ac:dyDescent="0.25">
      <c r="A56" s="1" t="s">
        <v>40</v>
      </c>
      <c r="B56" s="1">
        <v>210000</v>
      </c>
      <c r="C56" s="1">
        <v>205000</v>
      </c>
      <c r="D56" s="1">
        <v>193000</v>
      </c>
    </row>
    <row r="57" spans="1:4" x14ac:dyDescent="0.25">
      <c r="A57" s="1"/>
      <c r="B57" s="1"/>
      <c r="C57" s="1"/>
      <c r="D57" s="1"/>
    </row>
    <row r="58" spans="1:4" x14ac:dyDescent="0.25">
      <c r="A58" s="16" t="s">
        <v>97</v>
      </c>
      <c r="B58" s="16"/>
      <c r="C58" s="16"/>
      <c r="D58" s="16"/>
    </row>
    <row r="59" spans="1:4" x14ac:dyDescent="0.25">
      <c r="A59" s="8" t="s">
        <v>52</v>
      </c>
      <c r="B59" s="8" t="s">
        <v>89</v>
      </c>
      <c r="C59" s="8" t="s">
        <v>86</v>
      </c>
      <c r="D59" s="8" t="s">
        <v>62</v>
      </c>
    </row>
    <row r="60" spans="1:4" x14ac:dyDescent="0.25">
      <c r="A60" s="1" t="s">
        <v>93</v>
      </c>
      <c r="B60" s="1">
        <v>95000</v>
      </c>
      <c r="C60" s="1">
        <v>90000</v>
      </c>
      <c r="D60" s="1">
        <v>85000</v>
      </c>
    </row>
    <row r="61" spans="1:4" x14ac:dyDescent="0.25">
      <c r="A61" s="1" t="s">
        <v>32</v>
      </c>
      <c r="B61" s="1">
        <v>115000</v>
      </c>
      <c r="C61" s="1">
        <v>100000</v>
      </c>
      <c r="D61" s="1">
        <v>98000</v>
      </c>
    </row>
    <row r="62" spans="1:4" x14ac:dyDescent="0.25">
      <c r="A62" s="1" t="s">
        <v>94</v>
      </c>
      <c r="B62" s="1">
        <v>140000</v>
      </c>
      <c r="C62" s="1">
        <v>135000</v>
      </c>
      <c r="D62" s="1">
        <v>128000</v>
      </c>
    </row>
    <row r="63" spans="1:4" x14ac:dyDescent="0.25">
      <c r="A63" s="1" t="s">
        <v>40</v>
      </c>
      <c r="B63" s="1">
        <v>185000</v>
      </c>
      <c r="C63" s="1">
        <v>180000</v>
      </c>
      <c r="D63" s="1">
        <v>175000</v>
      </c>
    </row>
    <row r="64" spans="1:4" x14ac:dyDescent="0.25">
      <c r="A64" s="1"/>
      <c r="B64" s="1"/>
      <c r="C64" s="1"/>
      <c r="D64" s="1"/>
    </row>
    <row r="65" spans="1:4" x14ac:dyDescent="0.25">
      <c r="A65" s="17" t="s">
        <v>98</v>
      </c>
      <c r="B65" s="17"/>
      <c r="C65" s="17"/>
      <c r="D65" s="17"/>
    </row>
    <row r="66" spans="1:4" x14ac:dyDescent="0.25">
      <c r="A66" s="1" t="s">
        <v>52</v>
      </c>
      <c r="B66" s="1" t="s">
        <v>89</v>
      </c>
      <c r="C66" s="1" t="s">
        <v>86</v>
      </c>
      <c r="D66" s="1" t="s">
        <v>70</v>
      </c>
    </row>
    <row r="67" spans="1:4" x14ac:dyDescent="0.25">
      <c r="A67" s="1" t="s">
        <v>99</v>
      </c>
      <c r="B67" s="1">
        <v>50000</v>
      </c>
      <c r="C67" s="1">
        <v>49000</v>
      </c>
      <c r="D67" s="1">
        <v>47000</v>
      </c>
    </row>
    <row r="68" spans="1:4" x14ac:dyDescent="0.25">
      <c r="A68" s="1" t="s">
        <v>100</v>
      </c>
      <c r="B68" s="1">
        <v>78000</v>
      </c>
      <c r="C68" s="1">
        <v>75000</v>
      </c>
      <c r="D68" s="1">
        <v>73000</v>
      </c>
    </row>
    <row r="69" spans="1:4" x14ac:dyDescent="0.25">
      <c r="A69" s="1" t="s">
        <v>101</v>
      </c>
      <c r="B69" s="1">
        <v>107000</v>
      </c>
      <c r="C69" s="1">
        <v>100000</v>
      </c>
      <c r="D69" s="1">
        <v>98000</v>
      </c>
    </row>
    <row r="70" spans="1:4" x14ac:dyDescent="0.25">
      <c r="A70" s="1"/>
      <c r="B70" s="1"/>
      <c r="C70" s="1"/>
      <c r="D70" s="1"/>
    </row>
  </sheetData>
  <mergeCells count="8">
    <mergeCell ref="A50:D50"/>
    <mergeCell ref="A58:D58"/>
    <mergeCell ref="A65:D65"/>
    <mergeCell ref="A1:D1"/>
    <mergeCell ref="A12:D12"/>
    <mergeCell ref="A20:D20"/>
    <mergeCell ref="A31:D31"/>
    <mergeCell ref="A39:D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MAHEVA</dc:creator>
  <cp:lastModifiedBy>MAHEVA</cp:lastModifiedBy>
  <cp:lastPrinted>2026-04-20T00:51:50Z</cp:lastPrinted>
  <dcterms:created xsi:type="dcterms:W3CDTF">2026-04-20T00:14:08Z</dcterms:created>
  <dcterms:modified xsi:type="dcterms:W3CDTF">2026-07-03T10:19:51Z</dcterms:modified>
</cp:coreProperties>
</file>